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4A45994-11FC-4424-B45D-832197BBA16F}" xr6:coauthVersionLast="47" xr6:coauthVersionMax="47" xr10:uidLastSave="{00000000-0000-0000-0000-000000000000}"/>
  <bookViews>
    <workbookView xWindow="-108" yWindow="-108" windowWidth="23256" windowHeight="12456" xr2:uid="{6150C63D-7ACE-4AA6-A3CE-0489CE4715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2" i="1"/>
  <c r="E2" i="1"/>
  <c r="E3" i="1"/>
  <c r="E4" i="1"/>
  <c r="E5" i="1"/>
  <c r="E6" i="1"/>
  <c r="E7" i="1"/>
</calcChain>
</file>

<file path=xl/sharedStrings.xml><?xml version="1.0" encoding="utf-8"?>
<sst xmlns="http://schemas.openxmlformats.org/spreadsheetml/2006/main" count="8" uniqueCount="8">
  <si>
    <t>ADC Code</t>
  </si>
  <si>
    <t>Input Voltage</t>
  </si>
  <si>
    <t>ADC0</t>
  </si>
  <si>
    <t>ADC0 Expected</t>
  </si>
  <si>
    <t>ADC0 Error</t>
  </si>
  <si>
    <t>Multimeter Voltage (at voltage divider)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</si>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</sst>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77F9-E96E-4AA3-9CF6-BDE6E6AAE3CE}">
  <dimension ref="A1:J7"/>
  <sheetViews>
    <sheetView tabSelected="1" workbookViewId="0">
      <selection activeCell="H16" sqref="H16"/>
    </sheetView>
  </sheetViews>
  <sheetFormatPr defaultRowHeight="14.4" x14ac:dyDescent="0.3"/>
  <cols>
    <col min="1" max="1" width="11.33203125" bestFit="1" customWidth="1"/>
    <col min="2" max="3" width="31.21875" bestFit="1" customWidth="1"/>
    <col min="5" max="5" width="13.33203125" bestFit="1" customWidth="1"/>
    <col min="6" max="6" width="14.77734375" customWidth="1"/>
  </cols>
  <sheetData>
    <row r="1" spans="1:10" x14ac:dyDescent="0.3">
      <c r="A1" t="s">
        <v>1</v>
      </c>
      <c r="B1" t="s">
        <v>5</v>
      </c>
      <c r="C1" t="s">
        <v>0</v>
      </c>
      <c r="D1" t="s">
        <v>2</v>
      </c>
      <c r="E1" t="s">
        <v>3</v>
      </c>
      <c r="F1" t="s">
        <v>4</v>
      </c>
      <c r="I1" t="s">
        <v>6</v>
      </c>
      <c r="J1">
        <v>97.8</v>
      </c>
    </row>
    <row r="2" spans="1:10" x14ac:dyDescent="0.3">
      <c r="A2">
        <v>0</v>
      </c>
      <c r="B2">
        <v>2.7000000000000001E-3</v>
      </c>
      <c r="C2">
        <v>0</v>
      </c>
      <c r="D2">
        <v>0</v>
      </c>
      <c r="E2">
        <f t="shared" ref="E2:E6" si="0">B2*($J$1+$J$2)/$J$2</f>
        <v>4.6010799136069116E-3</v>
      </c>
      <c r="F2" s="1">
        <f>(D2-E2)/E2</f>
        <v>-1</v>
      </c>
      <c r="I2" t="s">
        <v>7</v>
      </c>
      <c r="J2">
        <v>138.9</v>
      </c>
    </row>
    <row r="3" spans="1:10" x14ac:dyDescent="0.3">
      <c r="A3">
        <v>1</v>
      </c>
      <c r="B3">
        <v>0.58599999999999997</v>
      </c>
      <c r="C3">
        <v>671</v>
      </c>
      <c r="D3">
        <v>0.94750000000000001</v>
      </c>
      <c r="E3">
        <f t="shared" si="0"/>
        <v>0.99860475161987039</v>
      </c>
      <c r="F3" s="1">
        <f t="shared" ref="F3:F7" si="1">(D3-E3)/E3</f>
        <v>-5.1176155067329338E-2</v>
      </c>
    </row>
    <row r="4" spans="1:10" x14ac:dyDescent="0.3">
      <c r="A4">
        <v>2</v>
      </c>
      <c r="B4">
        <v>1.1879999999999999</v>
      </c>
      <c r="C4">
        <v>1439</v>
      </c>
      <c r="D4">
        <v>1.9690000000000001</v>
      </c>
      <c r="E4">
        <f t="shared" si="0"/>
        <v>2.0244751619870409</v>
      </c>
      <c r="F4" s="1">
        <f t="shared" si="1"/>
        <v>-2.740224381542496E-2</v>
      </c>
    </row>
    <row r="5" spans="1:10" x14ac:dyDescent="0.3">
      <c r="A5">
        <v>3</v>
      </c>
      <c r="B5">
        <v>1.794</v>
      </c>
      <c r="C5">
        <v>2138</v>
      </c>
      <c r="D5">
        <v>2.9689999999999999</v>
      </c>
      <c r="E5">
        <f t="shared" si="0"/>
        <v>3.0571619870410363</v>
      </c>
      <c r="F5" s="1">
        <f t="shared" si="1"/>
        <v>-2.8837852693035265E-2</v>
      </c>
    </row>
    <row r="6" spans="1:10" x14ac:dyDescent="0.3">
      <c r="A6">
        <v>4</v>
      </c>
      <c r="B6">
        <v>2.3919999999999999</v>
      </c>
      <c r="C6">
        <v>2858</v>
      </c>
      <c r="D6">
        <v>3.9889999999999999</v>
      </c>
      <c r="E6">
        <f t="shared" si="0"/>
        <v>4.076215982721382</v>
      </c>
      <c r="F6" s="1">
        <f t="shared" si="1"/>
        <v>-2.1396310473017318E-2</v>
      </c>
    </row>
    <row r="7" spans="1:10" x14ac:dyDescent="0.3">
      <c r="A7">
        <v>5</v>
      </c>
      <c r="B7">
        <v>2.988</v>
      </c>
      <c r="C7">
        <v>3610</v>
      </c>
      <c r="D7">
        <v>4.9790000000000001</v>
      </c>
      <c r="E7">
        <f>B7*($J$1+$J$2)/$J$2</f>
        <v>5.0918617710583147</v>
      </c>
      <c r="F7" s="1">
        <f t="shared" si="1"/>
        <v>-2.2165128617554153E-2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Fu, Champers</dc:creator>
  <cp:lastModifiedBy>Fu, Champers</cp:lastModifiedBy>
  <dcterms:created xsi:type="dcterms:W3CDTF">2026-01-30T19:19:48Z</dcterms:created>
  <dcterms:modified xsi:type="dcterms:W3CDTF">2026-01-30T19:30:36Z</dcterms:modified>
</cp:coreProperties>
</file>